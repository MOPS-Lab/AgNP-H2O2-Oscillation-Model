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j-my.sharepoint.com/personal/tilenk_fkkt1_uni-lj_si/Documents/Documents/FKKT/Clanki/A24 Zan Vagaja/"/>
    </mc:Choice>
  </mc:AlternateContent>
  <xr:revisionPtr revIDLastSave="0" documentId="13_ncr:1_{95000294-C7A1-4874-A830-B30287BBACCE}" xr6:coauthVersionLast="47" xr6:coauthVersionMax="47" xr10:uidLastSave="{00000000-0000-0000-0000-000000000000}"/>
  <bookViews>
    <workbookView xWindow="-120" yWindow="-120" windowWidth="29040" windowHeight="17520" xr2:uid="{61DB4F45-FBE6-4646-8F7F-6ACEDEA4B55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21" i="1" l="1"/>
  <c r="AL20" i="1"/>
  <c r="AL19" i="1"/>
  <c r="AL14" i="1"/>
  <c r="AK14" i="1"/>
  <c r="AD16" i="1"/>
  <c r="AK17" i="1" s="1"/>
  <c r="AD15" i="1"/>
  <c r="AK16" i="1" s="1"/>
  <c r="AD14" i="1"/>
  <c r="AK15" i="1" s="1"/>
  <c r="AD13" i="1"/>
  <c r="AE27" i="1"/>
  <c r="AE26" i="1"/>
  <c r="AE25" i="1"/>
  <c r="AE24" i="1"/>
  <c r="AE23" i="1"/>
  <c r="AE22" i="1"/>
  <c r="AE20" i="1"/>
  <c r="AE19" i="1"/>
  <c r="AE18" i="1"/>
  <c r="AE17" i="1"/>
  <c r="AE16" i="1"/>
  <c r="AE15" i="1"/>
  <c r="AE14" i="1"/>
  <c r="AE13" i="1"/>
  <c r="Y28" i="1"/>
  <c r="AC20" i="1"/>
  <c r="AD20" i="1" s="1"/>
  <c r="AK21" i="1" s="1"/>
  <c r="AC13" i="1"/>
  <c r="AB27" i="1"/>
  <c r="AC27" i="1" s="1"/>
  <c r="AD27" i="1" s="1"/>
  <c r="AB26" i="1"/>
  <c r="AC26" i="1" s="1"/>
  <c r="AD26" i="1" s="1"/>
  <c r="AB25" i="1"/>
  <c r="AC25" i="1" s="1"/>
  <c r="AD25" i="1" s="1"/>
  <c r="AB24" i="1"/>
  <c r="AC24" i="1" s="1"/>
  <c r="AD24" i="1" s="1"/>
  <c r="AB23" i="1"/>
  <c r="AC23" i="1" s="1"/>
  <c r="AD23" i="1" s="1"/>
  <c r="AB22" i="1"/>
  <c r="AC22" i="1" s="1"/>
  <c r="AD22" i="1" s="1"/>
  <c r="AB20" i="1"/>
  <c r="AB19" i="1"/>
  <c r="AC19" i="1" s="1"/>
  <c r="AD19" i="1" s="1"/>
  <c r="AK20" i="1" s="1"/>
  <c r="AB18" i="1"/>
  <c r="AC18" i="1" s="1"/>
  <c r="AD18" i="1" s="1"/>
  <c r="AK19" i="1" s="1"/>
  <c r="AB17" i="1"/>
  <c r="AC17" i="1" s="1"/>
  <c r="AD17" i="1" s="1"/>
  <c r="AK18" i="1" s="1"/>
  <c r="AB16" i="1"/>
  <c r="AC16" i="1" s="1"/>
  <c r="AB15" i="1"/>
  <c r="AC15" i="1" s="1"/>
  <c r="AB14" i="1"/>
  <c r="AC14" i="1" s="1"/>
  <c r="AB13" i="1"/>
  <c r="AF17" i="1"/>
  <c r="W23" i="1"/>
  <c r="W14" i="1"/>
  <c r="X27" i="1"/>
  <c r="W27" i="1" s="1"/>
  <c r="X26" i="1"/>
  <c r="W26" i="1" s="1"/>
  <c r="X25" i="1"/>
  <c r="W25" i="1" s="1"/>
  <c r="X24" i="1"/>
  <c r="W24" i="1" s="1"/>
  <c r="X23" i="1"/>
  <c r="W13" i="1" s="1"/>
  <c r="X22" i="1"/>
  <c r="W22" i="1" s="1"/>
  <c r="X20" i="1"/>
  <c r="W20" i="1" s="1"/>
  <c r="X19" i="1"/>
  <c r="W19" i="1" s="1"/>
  <c r="X18" i="1"/>
  <c r="W18" i="1" s="1"/>
  <c r="X17" i="1"/>
  <c r="W17" i="1" s="1"/>
  <c r="X16" i="1"/>
  <c r="W16" i="1" s="1"/>
  <c r="X15" i="1"/>
  <c r="W15" i="1" s="1"/>
  <c r="X14" i="1"/>
  <c r="X1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D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</calcChain>
</file>

<file path=xl/sharedStrings.xml><?xml version="1.0" encoding="utf-8"?>
<sst xmlns="http://schemas.openxmlformats.org/spreadsheetml/2006/main" count="32" uniqueCount="31">
  <si>
    <t>masni tok [F*c]</t>
  </si>
  <si>
    <t>FH2O2(ul/h) </t>
  </si>
  <si>
    <t>CH2O2(mM) </t>
  </si>
  <si>
    <t>f(1/min) </t>
  </si>
  <si>
    <t xml:space="preserve"> [ul/h]</t>
  </si>
  <si>
    <t>ocenje konc H2O2 [mM]</t>
  </si>
  <si>
    <t>vzamemo konstanten vtok H2O2</t>
  </si>
  <si>
    <t>(ocenjen povprečen vtok H2O2)</t>
  </si>
  <si>
    <t>vtok</t>
  </si>
  <si>
    <t>ul/h</t>
  </si>
  <si>
    <t>F H2O2 (ul/h)</t>
  </si>
  <si>
    <t>C H2O2 (mM)</t>
  </si>
  <si>
    <t>f (1/min)</t>
  </si>
  <si>
    <t>DIal</t>
  </si>
  <si>
    <t>zadnji podatki od Roka 10.8.2026</t>
  </si>
  <si>
    <t>tole je bil 1% peroksid</t>
  </si>
  <si>
    <t>tole je bil 0.6% peroksid</t>
  </si>
  <si>
    <t>mM</t>
  </si>
  <si>
    <t>F H2O2 [mL/h]</t>
  </si>
  <si>
    <t>mmol/l (umol/ml)</t>
  </si>
  <si>
    <t>kum H2O2 [umol/h]</t>
  </si>
  <si>
    <t>povprečen pretok [ul/h]</t>
  </si>
  <si>
    <t xml:space="preserve">vzel bom </t>
  </si>
  <si>
    <t>predpostavljeno povprečje</t>
  </si>
  <si>
    <t>to je v bistvu kumulativna dodana količina peroksida (ne vem pa v katerih enotah)</t>
  </si>
  <si>
    <t>navidezna koncentracija H2O2, če bi bil pretok 500 ul/h</t>
  </si>
  <si>
    <t>[mM]</t>
  </si>
  <si>
    <t>to je vprašljivo, če ustreza - Rok jo je dal ven, bom še jaz</t>
  </si>
  <si>
    <t>upoštevanje eksperimentalne napake</t>
  </si>
  <si>
    <t>Konc. H2O2 [mM]</t>
  </si>
  <si>
    <t>frekvenca [min-1]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</si>
</sst>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CC3595"/>
      <name val="Calibri"/>
      <family val="2"/>
    </font>
    <font>
      <u/>
      <sz val="11"/>
      <color rgb="FF7F215D"/>
      <name val="Calibri"/>
      <family val="2"/>
    </font>
    <font>
      <sz val="18"/>
      <name val="Arial"/>
      <family val="2"/>
      <charset val="238"/>
    </font>
    <font>
      <sz val="11"/>
      <color rgb="FF000000"/>
      <name val="Aptos"/>
      <family val="2"/>
    </font>
    <font>
      <sz val="11"/>
      <color rgb="FF000000"/>
      <name val="Calibri"/>
      <family val="2"/>
      <charset val="238"/>
    </font>
    <font>
      <sz val="8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E1F2F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7EAED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1" fillId="0" borderId="0" xfId="0" applyFont="1"/>
    <xf numFmtId="0" fontId="3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right"/>
    </xf>
    <xf numFmtId="0" fontId="0" fillId="3" borderId="0" xfId="0" applyFill="1"/>
    <xf numFmtId="0" fontId="5" fillId="4" borderId="10" xfId="0" applyFont="1" applyFill="1" applyBorder="1" applyAlignment="1">
      <alignment horizontal="left" wrapText="1" readingOrder="1"/>
    </xf>
    <xf numFmtId="0" fontId="6" fillId="4" borderId="10" xfId="0" applyFont="1" applyFill="1" applyBorder="1" applyAlignment="1">
      <alignment horizontal="right" wrapText="1" readingOrder="1"/>
    </xf>
    <xf numFmtId="0" fontId="4" fillId="4" borderId="10" xfId="0" applyFont="1" applyFill="1" applyBorder="1" applyAlignment="1">
      <alignment horizontal="right" wrapText="1"/>
    </xf>
    <xf numFmtId="0" fontId="5" fillId="4" borderId="10" xfId="0" applyFont="1" applyFill="1" applyBorder="1" applyAlignment="1">
      <alignment horizontal="right" wrapText="1" readingOrder="1"/>
    </xf>
    <xf numFmtId="0" fontId="5" fillId="3" borderId="10" xfId="0" applyFont="1" applyFill="1" applyBorder="1" applyAlignment="1">
      <alignment horizontal="right" wrapText="1" readingOrder="1"/>
    </xf>
    <xf numFmtId="0" fontId="5" fillId="4" borderId="0" xfId="0" applyFont="1" applyFill="1" applyAlignment="1">
      <alignment horizontal="left" wrapText="1" readingOrder="1"/>
    </xf>
    <xf numFmtId="0" fontId="5" fillId="3" borderId="0" xfId="0" applyFont="1" applyFill="1" applyAlignment="1">
      <alignment horizontal="right" wrapText="1" readingOrder="1"/>
    </xf>
    <xf numFmtId="0" fontId="7" fillId="4" borderId="0" xfId="0" applyFont="1" applyFill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Sheet1!$H$9</c:f>
              <c:strCache>
                <c:ptCount val="1"/>
                <c:pt idx="0">
                  <c:v>0,5616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Sheet1!$F$9:$F$22</c:f>
              <c:numCache>
                <c:formatCode>General</c:formatCode>
                <c:ptCount val="14"/>
                <c:pt idx="0">
                  <c:v>0.12987000000000001</c:v>
                </c:pt>
                <c:pt idx="1">
                  <c:v>0.165746</c:v>
                </c:pt>
                <c:pt idx="2">
                  <c:v>0.20114899999999999</c:v>
                </c:pt>
                <c:pt idx="3">
                  <c:v>0.227273</c:v>
                </c:pt>
                <c:pt idx="4">
                  <c:v>0.18587400000000001</c:v>
                </c:pt>
                <c:pt idx="5">
                  <c:v>0.20408200000000001</c:v>
                </c:pt>
                <c:pt idx="6">
                  <c:v>0.22988500000000001</c:v>
                </c:pt>
                <c:pt idx="7">
                  <c:v>0.288462</c:v>
                </c:pt>
                <c:pt idx="8">
                  <c:v>0.32822800000000002</c:v>
                </c:pt>
                <c:pt idx="9">
                  <c:v>9.5694000000000001E-2</c:v>
                </c:pt>
                <c:pt idx="10">
                  <c:v>0.141844</c:v>
                </c:pt>
                <c:pt idx="11">
                  <c:v>0.209205</c:v>
                </c:pt>
                <c:pt idx="12">
                  <c:v>0.296296</c:v>
                </c:pt>
                <c:pt idx="13">
                  <c:v>0.33057900000000001</c:v>
                </c:pt>
              </c:numCache>
            </c:numRef>
          </c:xVal>
          <c:yVal>
            <c:numRef>
              <c:f>Sheet1!$H$10:$H$22</c:f>
              <c:numCache>
                <c:formatCode>General</c:formatCode>
                <c:ptCount val="13"/>
                <c:pt idx="0">
                  <c:v>0.88200000000000001</c:v>
                </c:pt>
                <c:pt idx="1">
                  <c:v>1.26</c:v>
                </c:pt>
                <c:pt idx="2">
                  <c:v>1.7136000000000002</c:v>
                </c:pt>
                <c:pt idx="3">
                  <c:v>2.2368000000000001</c:v>
                </c:pt>
                <c:pt idx="4">
                  <c:v>2.8296000000000001</c:v>
                </c:pt>
                <c:pt idx="5">
                  <c:v>3.492</c:v>
                </c:pt>
                <c:pt idx="6">
                  <c:v>5.0256000000000007</c:v>
                </c:pt>
                <c:pt idx="7">
                  <c:v>6.1920000000000002</c:v>
                </c:pt>
                <c:pt idx="8">
                  <c:v>0.61</c:v>
                </c:pt>
                <c:pt idx="9">
                  <c:v>0.88200000000000001</c:v>
                </c:pt>
                <c:pt idx="10">
                  <c:v>3.492</c:v>
                </c:pt>
                <c:pt idx="11">
                  <c:v>4.7460000000000004</c:v>
                </c:pt>
                <c:pt idx="12">
                  <c:v>6.1920000000000002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8E1-472E-A029-773A5029C28C}"/>
            </c:ext>
          </c:extLst>
        </c:ser>
        <c:ser>
          <c:idx val="2"/>
          <c:order val="1"/>
          <c:tx>
            <c:strRef>
              <c:f>Sheet1!$I$9</c:f>
              <c:strCache>
                <c:ptCount val="1"/>
                <c:pt idx="0">
                  <c:v>0,12987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Sheet1!$F$9:$F$22</c:f>
              <c:numCache>
                <c:formatCode>General</c:formatCode>
                <c:ptCount val="14"/>
                <c:pt idx="0">
                  <c:v>0.12987000000000001</c:v>
                </c:pt>
                <c:pt idx="1">
                  <c:v>0.165746</c:v>
                </c:pt>
                <c:pt idx="2">
                  <c:v>0.20114899999999999</c:v>
                </c:pt>
                <c:pt idx="3">
                  <c:v>0.227273</c:v>
                </c:pt>
                <c:pt idx="4">
                  <c:v>0.18587400000000001</c:v>
                </c:pt>
                <c:pt idx="5">
                  <c:v>0.20408200000000001</c:v>
                </c:pt>
                <c:pt idx="6">
                  <c:v>0.22988500000000001</c:v>
                </c:pt>
                <c:pt idx="7">
                  <c:v>0.288462</c:v>
                </c:pt>
                <c:pt idx="8">
                  <c:v>0.32822800000000002</c:v>
                </c:pt>
                <c:pt idx="9">
                  <c:v>9.5694000000000001E-2</c:v>
                </c:pt>
                <c:pt idx="10">
                  <c:v>0.141844</c:v>
                </c:pt>
                <c:pt idx="11">
                  <c:v>0.209205</c:v>
                </c:pt>
                <c:pt idx="12">
                  <c:v>0.296296</c:v>
                </c:pt>
                <c:pt idx="13">
                  <c:v>0.33057900000000001</c:v>
                </c:pt>
              </c:numCache>
            </c:numRef>
          </c:xVal>
          <c:yVal>
            <c:numRef>
              <c:f>Sheet1!$I$10:$I$22</c:f>
              <c:numCache>
                <c:formatCode>General</c:formatCode>
                <c:ptCount val="13"/>
                <c:pt idx="0">
                  <c:v>0.165746</c:v>
                </c:pt>
                <c:pt idx="1">
                  <c:v>0.20114899999999999</c:v>
                </c:pt>
                <c:pt idx="2">
                  <c:v>0.227273</c:v>
                </c:pt>
                <c:pt idx="3">
                  <c:v>0.18587400000000001</c:v>
                </c:pt>
                <c:pt idx="4">
                  <c:v>0.20408200000000001</c:v>
                </c:pt>
                <c:pt idx="5">
                  <c:v>0.22988500000000001</c:v>
                </c:pt>
                <c:pt idx="6">
                  <c:v>0.288462</c:v>
                </c:pt>
                <c:pt idx="7">
                  <c:v>0.32822800000000002</c:v>
                </c:pt>
                <c:pt idx="8">
                  <c:v>9.5694000000000001E-2</c:v>
                </c:pt>
                <c:pt idx="9">
                  <c:v>0.141844</c:v>
                </c:pt>
                <c:pt idx="10">
                  <c:v>0.209205</c:v>
                </c:pt>
                <c:pt idx="11">
                  <c:v>0.296296</c:v>
                </c:pt>
                <c:pt idx="12">
                  <c:v>0.33057900000000001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8E1-472E-A029-773A5029C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32864"/>
        <c:axId val="665012112"/>
      </c:scatterChart>
      <c:valAx>
        <c:axId val="55993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Konc. vtoka H2O2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65012112"/>
        <c:crosses val="autoZero"/>
        <c:crossBetween val="midCat"/>
      </c:valAx>
      <c:valAx>
        <c:axId val="66501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Frekvenca oscilacije [min-1]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55993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o-FO" sz="800"/>
              <a:t>PREDPOSTAVLJEN JE KONSTANTEN PRETOK 0.5 ML/H IN NAVIDEZNA KONCENTRACIJA VTOKA H2O2</a:t>
            </a:r>
            <a:r>
              <a:rPr lang="fo-FO" sz="800" baseline="0"/>
              <a:t> DOLOČENA TAKO, DA SE SNOVI TOK NA URO UJEMA - KER JE </a:t>
            </a:r>
            <a:r>
              <a:rPr lang="fo-FO" sz="800"/>
              <a:t> PRETOK PEOKSIDA ZANEMARLJIV GLEDE NA VTOK DELCEV, LAHKO PREDPOSTAVIMO, DA JE ZADRŽEVALNI ČAS KONSTANTEN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Sheet1!$AD$13:$AD$20</c:f>
              <c:numCache>
                <c:formatCode>General</c:formatCode>
                <c:ptCount val="8"/>
                <c:pt idx="0">
                  <c:v>98.1</c:v>
                </c:pt>
                <c:pt idx="1">
                  <c:v>122.62499999999999</c:v>
                </c:pt>
                <c:pt idx="2">
                  <c:v>147.14999999999998</c:v>
                </c:pt>
                <c:pt idx="3">
                  <c:v>171.67500000000001</c:v>
                </c:pt>
                <c:pt idx="4">
                  <c:v>196.2</c:v>
                </c:pt>
                <c:pt idx="5">
                  <c:v>220.72500000000002</c:v>
                </c:pt>
                <c:pt idx="6">
                  <c:v>245.24999999999997</c:v>
                </c:pt>
                <c:pt idx="7">
                  <c:v>294.29999999999995</c:v>
                </c:pt>
              </c:numCache>
            </c:numRef>
          </c:xVal>
          <c:yVal>
            <c:numRef>
              <c:f>Sheet1!$AE$13:$AE$20</c:f>
              <c:numCache>
                <c:formatCode>General</c:formatCode>
                <c:ptCount val="8"/>
                <c:pt idx="0">
                  <c:v>0.12987000000000001</c:v>
                </c:pt>
                <c:pt idx="1">
                  <c:v>0.165746</c:v>
                </c:pt>
                <c:pt idx="2">
                  <c:v>0.20114899999999999</c:v>
                </c:pt>
                <c:pt idx="3">
                  <c:v>0.227273</c:v>
                </c:pt>
                <c:pt idx="4">
                  <c:v>0.18587400000000001</c:v>
                </c:pt>
                <c:pt idx="5">
                  <c:v>0.20408200000000001</c:v>
                </c:pt>
                <c:pt idx="6">
                  <c:v>0.22988500000000001</c:v>
                </c:pt>
                <c:pt idx="7">
                  <c:v>0.288462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64-4373-81E7-DE4F5CD60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599936"/>
        <c:axId val="1479004464"/>
      </c:scatterChart>
      <c:valAx>
        <c:axId val="161059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Konc. vtoka H2O2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479004464"/>
        <c:crosses val="autoZero"/>
        <c:crossBetween val="midCat"/>
      </c:valAx>
      <c:valAx>
        <c:axId val="147900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Frekvenca oscilacije [min-1]</a:t>
                </a:r>
              </a:p>
            </c:rich>
          </c:tx>
          <c:layout>
            <c:manualLayout>
              <c:xMode val="edge"/>
              <c:yMode val="edge"/>
              <c:x val="2.2072072072072076E-2"/>
              <c:y val="0.32811055902780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61059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636482939632552E-2"/>
          <c:y val="0.21479982006297796"/>
          <c:w val="0.86480796150481187"/>
          <c:h val="0.6061964926448970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Sheet1!$AK$14:$AK$21</c:f>
              <c:numCache>
                <c:formatCode>General</c:formatCode>
                <c:ptCount val="8"/>
                <c:pt idx="0">
                  <c:v>98.1</c:v>
                </c:pt>
                <c:pt idx="1">
                  <c:v>122.62499999999999</c:v>
                </c:pt>
                <c:pt idx="2">
                  <c:v>147.14999999999998</c:v>
                </c:pt>
                <c:pt idx="3">
                  <c:v>171.67500000000001</c:v>
                </c:pt>
                <c:pt idx="4">
                  <c:v>196.2</c:v>
                </c:pt>
                <c:pt idx="5">
                  <c:v>220.72500000000002</c:v>
                </c:pt>
                <c:pt idx="6">
                  <c:v>245.24999999999997</c:v>
                </c:pt>
                <c:pt idx="7">
                  <c:v>294.29999999999995</c:v>
                </c:pt>
              </c:numCache>
            </c:numRef>
          </c:xVal>
          <c:yVal>
            <c:numRef>
              <c:f>Sheet1!$AL$14:$AL$21</c:f>
              <c:numCache>
                <c:formatCode>General</c:formatCode>
                <c:ptCount val="8"/>
                <c:pt idx="0">
                  <c:v>0.12987000000000001</c:v>
                </c:pt>
                <c:pt idx="1">
                  <c:v>0.15</c:v>
                </c:pt>
                <c:pt idx="2">
                  <c:v>0.18</c:v>
                </c:pt>
                <c:pt idx="3">
                  <c:v>0.19</c:v>
                </c:pt>
                <c:pt idx="4">
                  <c:v>0.19500000000000001</c:v>
                </c:pt>
                <c:pt idx="5">
                  <c:v>0.20408200000000001</c:v>
                </c:pt>
                <c:pt idx="6">
                  <c:v>0.22988500000000001</c:v>
                </c:pt>
                <c:pt idx="7">
                  <c:v>0.288462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E6-44F5-876C-6DBD0B55A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148511"/>
        <c:axId val="1771912975"/>
      </c:scatterChart>
      <c:valAx>
        <c:axId val="214214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771912975"/>
        <c:crosses val="autoZero"/>
        <c:crossBetween val="midCat"/>
      </c:valAx>
      <c:valAx>
        <c:axId val="1771912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214214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6</xdr:row>
      <xdr:rowOff>125730</xdr:rowOff>
    </xdr:from>
    <xdr:to>
      <xdr:col>20</xdr:col>
      <xdr:colOff>419100</xdr:colOff>
      <xdr:row>19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DF684-A4E0-10A5-FE37-7F342E6B4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144780</xdr:colOff>
      <xdr:row>28</xdr:row>
      <xdr:rowOff>163830</xdr:rowOff>
    </xdr:from>
    <xdr:to>
      <xdr:col>35</xdr:col>
      <xdr:colOff>502920</xdr:colOff>
      <xdr:row>44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7E8F97-4E8B-EC14-482D-2CEEB0EE5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586740</xdr:colOff>
      <xdr:row>28</xdr:row>
      <xdr:rowOff>163830</xdr:rowOff>
    </xdr:from>
    <xdr:to>
      <xdr:col>43</xdr:col>
      <xdr:colOff>281940</xdr:colOff>
      <xdr:row>44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FA3E94-15FF-96EA-E087-C32B67986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1D8-A00F-4B32-A8E0-54AFAB45C5EF}">
  <dimension ref="D8:AL29"/>
  <sheetViews>
    <sheetView tabSelected="1" topLeftCell="Q8" workbookViewId="0">
      <selection activeCell="X42" sqref="X42"/>
    </sheetView>
  </sheetViews>
  <sheetFormatPr defaultRowHeight="15" x14ac:dyDescent="0.25"/>
  <cols>
    <col min="8" max="8" width="10.5703125" customWidth="1"/>
  </cols>
  <sheetData>
    <row r="8" spans="4:38" ht="45.75" thickBot="1" x14ac:dyDescent="0.3">
      <c r="D8" s="2" t="s">
        <v>1</v>
      </c>
      <c r="E8" s="3" t="s">
        <v>2</v>
      </c>
      <c r="F8" s="4" t="s">
        <v>3</v>
      </c>
      <c r="G8" s="11" t="s">
        <v>0</v>
      </c>
      <c r="H8" s="11" t="s">
        <v>5</v>
      </c>
    </row>
    <row r="9" spans="4:38" ht="15.75" thickBot="1" x14ac:dyDescent="0.3">
      <c r="D9" s="5">
        <v>240</v>
      </c>
      <c r="E9" s="1">
        <v>1.17</v>
      </c>
      <c r="F9" s="6">
        <v>0.12987000000000001</v>
      </c>
      <c r="G9" s="12">
        <f>D9*E9</f>
        <v>280.79999999999995</v>
      </c>
      <c r="H9" s="13">
        <f t="shared" ref="H9:H22" si="0">G9/$G$24</f>
        <v>0.56159999999999988</v>
      </c>
      <c r="I9">
        <f>F9</f>
        <v>0.12987000000000001</v>
      </c>
      <c r="Y9" t="s">
        <v>14</v>
      </c>
    </row>
    <row r="10" spans="4:38" ht="15.75" thickBot="1" x14ac:dyDescent="0.3">
      <c r="D10" s="5">
        <v>300</v>
      </c>
      <c r="E10" s="1">
        <v>1.47</v>
      </c>
      <c r="F10" s="6">
        <v>0.165746</v>
      </c>
      <c r="G10" s="12">
        <f t="shared" ref="G10:G22" si="1">D10*E10</f>
        <v>441</v>
      </c>
      <c r="H10" s="13">
        <f t="shared" si="0"/>
        <v>0.88200000000000001</v>
      </c>
      <c r="I10">
        <f t="shared" ref="I10:I22" si="2">F10</f>
        <v>0.165746</v>
      </c>
      <c r="Z10" t="s">
        <v>24</v>
      </c>
    </row>
    <row r="11" spans="4:38" ht="69" thickBot="1" x14ac:dyDescent="0.3">
      <c r="D11" s="5">
        <v>360</v>
      </c>
      <c r="E11" s="1">
        <v>1.75</v>
      </c>
      <c r="F11" s="6">
        <v>0.20114899999999999</v>
      </c>
      <c r="G11" s="12">
        <f t="shared" si="1"/>
        <v>630</v>
      </c>
      <c r="H11" s="13">
        <f t="shared" si="0"/>
        <v>1.26</v>
      </c>
      <c r="I11">
        <f t="shared" si="2"/>
        <v>0.20114899999999999</v>
      </c>
      <c r="Y11" s="14" t="s">
        <v>10</v>
      </c>
      <c r="Z11" s="14" t="s">
        <v>11</v>
      </c>
      <c r="AA11" s="14" t="s">
        <v>12</v>
      </c>
      <c r="AB11" s="19" t="s">
        <v>18</v>
      </c>
      <c r="AC11" s="19" t="s">
        <v>20</v>
      </c>
      <c r="AD11" s="21" t="s">
        <v>25</v>
      </c>
    </row>
    <row r="12" spans="4:38" ht="24" thickBot="1" x14ac:dyDescent="0.4">
      <c r="D12" s="5">
        <v>420</v>
      </c>
      <c r="E12" s="1">
        <v>2.04</v>
      </c>
      <c r="F12" s="6">
        <v>0.227273</v>
      </c>
      <c r="G12" s="12">
        <f t="shared" si="1"/>
        <v>856.80000000000007</v>
      </c>
      <c r="H12" s="13">
        <f t="shared" si="0"/>
        <v>1.7136000000000002</v>
      </c>
      <c r="I12">
        <f t="shared" si="2"/>
        <v>0.227273</v>
      </c>
      <c r="Y12" s="15" t="s">
        <v>13</v>
      </c>
      <c r="Z12" s="16"/>
      <c r="AA12" s="16"/>
      <c r="AD12" t="s">
        <v>26</v>
      </c>
      <c r="AK12" t="s">
        <v>28</v>
      </c>
    </row>
    <row r="13" spans="4:38" ht="15.75" thickBot="1" x14ac:dyDescent="0.3">
      <c r="D13" s="5">
        <v>480</v>
      </c>
      <c r="E13" s="1">
        <v>2.33</v>
      </c>
      <c r="F13" s="6">
        <v>0.18587400000000001</v>
      </c>
      <c r="G13" s="12">
        <f t="shared" si="1"/>
        <v>1118.4000000000001</v>
      </c>
      <c r="H13" s="13">
        <f t="shared" si="0"/>
        <v>2.2368000000000001</v>
      </c>
      <c r="I13">
        <f t="shared" si="2"/>
        <v>0.18587400000000001</v>
      </c>
      <c r="W13">
        <f>X13/$X$23</f>
        <v>0.59938524590163933</v>
      </c>
      <c r="X13">
        <f>Z13/Y13</f>
        <v>2.9249999999999996E-3</v>
      </c>
      <c r="Y13" s="17">
        <v>240</v>
      </c>
      <c r="Z13" s="17">
        <v>0.70199999999999996</v>
      </c>
      <c r="AA13" s="17">
        <v>0.12987000000000001</v>
      </c>
      <c r="AB13">
        <f>Y13/1000</f>
        <v>0.24</v>
      </c>
      <c r="AC13">
        <f>AB13*$AF$17</f>
        <v>47.087999999999994</v>
      </c>
      <c r="AD13">
        <f>AC13/$AB$29</f>
        <v>98.1</v>
      </c>
      <c r="AE13">
        <f>AA13</f>
        <v>0.12987000000000001</v>
      </c>
      <c r="AK13" t="s">
        <v>29</v>
      </c>
      <c r="AL13" t="s">
        <v>30</v>
      </c>
    </row>
    <row r="14" spans="4:38" ht="15.75" thickBot="1" x14ac:dyDescent="0.3">
      <c r="D14" s="5">
        <v>540</v>
      </c>
      <c r="E14" s="1">
        <v>2.62</v>
      </c>
      <c r="F14" s="6">
        <v>0.20408200000000001</v>
      </c>
      <c r="G14" s="12">
        <f t="shared" si="1"/>
        <v>1414.8</v>
      </c>
      <c r="H14" s="13">
        <f t="shared" si="0"/>
        <v>2.8296000000000001</v>
      </c>
      <c r="I14">
        <f t="shared" si="2"/>
        <v>0.20408200000000001</v>
      </c>
      <c r="W14">
        <f t="shared" ref="W14:W27" si="3">X14/$X$23</f>
        <v>0.60245901639344268</v>
      </c>
      <c r="X14">
        <f t="shared" ref="X14:X27" si="4">Z14/Y14</f>
        <v>2.9399999999999999E-3</v>
      </c>
      <c r="Y14" s="17">
        <v>300</v>
      </c>
      <c r="Z14" s="17">
        <v>0.88200000000000001</v>
      </c>
      <c r="AA14" s="17">
        <v>0.165746</v>
      </c>
      <c r="AB14">
        <f t="shared" ref="AB14:AB27" si="5">Y14/1000</f>
        <v>0.3</v>
      </c>
      <c r="AC14">
        <f t="shared" ref="AC14:AC20" si="6">AB14*$AF$17</f>
        <v>58.859999999999992</v>
      </c>
      <c r="AD14">
        <f t="shared" ref="AD14:AD20" si="7">AC14/$AB$29</f>
        <v>122.62499999999999</v>
      </c>
      <c r="AE14">
        <f t="shared" ref="AE14:AE27" si="8">AA14</f>
        <v>0.165746</v>
      </c>
      <c r="AK14">
        <f>AD13</f>
        <v>98.1</v>
      </c>
      <c r="AL14">
        <f>AE13</f>
        <v>0.12987000000000001</v>
      </c>
    </row>
    <row r="15" spans="4:38" ht="15.75" thickBot="1" x14ac:dyDescent="0.3">
      <c r="D15" s="5">
        <v>600</v>
      </c>
      <c r="E15" s="1">
        <v>2.91</v>
      </c>
      <c r="F15" s="6">
        <v>0.22988500000000001</v>
      </c>
      <c r="G15" s="12">
        <f t="shared" si="1"/>
        <v>1746</v>
      </c>
      <c r="H15" s="13">
        <f t="shared" si="0"/>
        <v>3.492</v>
      </c>
      <c r="I15">
        <f t="shared" si="2"/>
        <v>0.22988500000000001</v>
      </c>
      <c r="W15">
        <f t="shared" si="3"/>
        <v>0.59767759562841538</v>
      </c>
      <c r="X15">
        <f t="shared" si="4"/>
        <v>2.9166666666666668E-3</v>
      </c>
      <c r="Y15" s="17">
        <v>360</v>
      </c>
      <c r="Z15" s="17">
        <v>1.05</v>
      </c>
      <c r="AA15" s="17">
        <v>0.20114899999999999</v>
      </c>
      <c r="AB15">
        <f t="shared" si="5"/>
        <v>0.36</v>
      </c>
      <c r="AC15">
        <f t="shared" si="6"/>
        <v>70.631999999999991</v>
      </c>
      <c r="AD15">
        <f t="shared" si="7"/>
        <v>147.14999999999998</v>
      </c>
      <c r="AE15">
        <f t="shared" si="8"/>
        <v>0.20114899999999999</v>
      </c>
      <c r="AK15">
        <f t="shared" ref="AK15:AK21" si="9">AD14</f>
        <v>122.62499999999999</v>
      </c>
      <c r="AL15">
        <v>0.15</v>
      </c>
    </row>
    <row r="16" spans="4:38" ht="15.75" thickBot="1" x14ac:dyDescent="0.3">
      <c r="D16" s="5">
        <v>720</v>
      </c>
      <c r="E16" s="1">
        <v>3.49</v>
      </c>
      <c r="F16" s="6">
        <v>0.288462</v>
      </c>
      <c r="G16" s="12">
        <f t="shared" si="1"/>
        <v>2512.8000000000002</v>
      </c>
      <c r="H16" s="13">
        <f t="shared" si="0"/>
        <v>5.0256000000000007</v>
      </c>
      <c r="I16">
        <f t="shared" si="2"/>
        <v>0.288462</v>
      </c>
      <c r="W16">
        <f t="shared" si="3"/>
        <v>0.59718969555035128</v>
      </c>
      <c r="X16">
        <f t="shared" si="4"/>
        <v>2.9142857142857143E-3</v>
      </c>
      <c r="Y16" s="17">
        <v>420</v>
      </c>
      <c r="Z16" s="17">
        <v>1.224</v>
      </c>
      <c r="AA16" s="17">
        <v>0.227273</v>
      </c>
      <c r="AB16">
        <f t="shared" si="5"/>
        <v>0.42</v>
      </c>
      <c r="AC16">
        <f t="shared" si="6"/>
        <v>82.403999999999996</v>
      </c>
      <c r="AD16">
        <f t="shared" si="7"/>
        <v>171.67500000000001</v>
      </c>
      <c r="AE16">
        <f t="shared" si="8"/>
        <v>0.227273</v>
      </c>
      <c r="AK16">
        <f t="shared" si="9"/>
        <v>147.14999999999998</v>
      </c>
      <c r="AL16">
        <v>0.18</v>
      </c>
    </row>
    <row r="17" spans="4:38" ht="15.75" thickBot="1" x14ac:dyDescent="0.3">
      <c r="D17" s="5">
        <v>800</v>
      </c>
      <c r="E17" s="1">
        <v>3.87</v>
      </c>
      <c r="F17" s="6">
        <v>0.32822800000000002</v>
      </c>
      <c r="G17" s="12">
        <f t="shared" si="1"/>
        <v>3096</v>
      </c>
      <c r="H17" s="13">
        <f t="shared" si="0"/>
        <v>6.1920000000000002</v>
      </c>
      <c r="I17">
        <f t="shared" si="2"/>
        <v>0.32822800000000002</v>
      </c>
      <c r="W17">
        <f t="shared" si="3"/>
        <v>0.59682377049180324</v>
      </c>
      <c r="X17">
        <f t="shared" si="4"/>
        <v>2.9124999999999997E-3</v>
      </c>
      <c r="Y17" s="17">
        <v>480</v>
      </c>
      <c r="Z17" s="17">
        <v>1.3979999999999999</v>
      </c>
      <c r="AA17" s="17">
        <v>0.18587400000000001</v>
      </c>
      <c r="AB17">
        <f t="shared" si="5"/>
        <v>0.48</v>
      </c>
      <c r="AC17">
        <f t="shared" si="6"/>
        <v>94.175999999999988</v>
      </c>
      <c r="AD17">
        <f t="shared" si="7"/>
        <v>196.2</v>
      </c>
      <c r="AE17">
        <f t="shared" si="8"/>
        <v>0.18587400000000001</v>
      </c>
      <c r="AF17">
        <f>AF23*0.6</f>
        <v>196.2</v>
      </c>
      <c r="AG17" t="s">
        <v>17</v>
      </c>
      <c r="AK17">
        <f t="shared" si="9"/>
        <v>171.67500000000001</v>
      </c>
      <c r="AL17">
        <v>0.19</v>
      </c>
    </row>
    <row r="18" spans="4:38" ht="15.75" thickBot="1" x14ac:dyDescent="0.3">
      <c r="D18" s="5">
        <v>250</v>
      </c>
      <c r="E18" s="1">
        <v>1.22</v>
      </c>
      <c r="F18" s="6">
        <v>9.5694000000000001E-2</v>
      </c>
      <c r="G18" s="12">
        <f t="shared" si="1"/>
        <v>305</v>
      </c>
      <c r="H18" s="13">
        <f t="shared" si="0"/>
        <v>0.61</v>
      </c>
      <c r="I18">
        <f t="shared" si="2"/>
        <v>9.5694000000000001E-2</v>
      </c>
      <c r="W18">
        <f t="shared" si="3"/>
        <v>0.59653916211293267</v>
      </c>
      <c r="X18">
        <f t="shared" si="4"/>
        <v>2.9111111111111113E-3</v>
      </c>
      <c r="Y18" s="17">
        <v>540</v>
      </c>
      <c r="Z18" s="17">
        <v>1.5720000000000001</v>
      </c>
      <c r="AA18" s="17">
        <v>0.20408200000000001</v>
      </c>
      <c r="AB18">
        <f t="shared" si="5"/>
        <v>0.54</v>
      </c>
      <c r="AC18">
        <f t="shared" si="6"/>
        <v>105.94800000000001</v>
      </c>
      <c r="AD18">
        <f t="shared" si="7"/>
        <v>220.72500000000002</v>
      </c>
      <c r="AE18">
        <f t="shared" si="8"/>
        <v>0.20408200000000001</v>
      </c>
      <c r="AF18" t="s">
        <v>16</v>
      </c>
      <c r="AK18">
        <f t="shared" si="9"/>
        <v>196.2</v>
      </c>
      <c r="AL18">
        <v>0.19500000000000001</v>
      </c>
    </row>
    <row r="19" spans="4:38" ht="15.75" thickBot="1" x14ac:dyDescent="0.3">
      <c r="D19" s="5">
        <v>300</v>
      </c>
      <c r="E19" s="1">
        <v>1.47</v>
      </c>
      <c r="F19" s="6">
        <v>0.141844</v>
      </c>
      <c r="G19" s="12">
        <f t="shared" si="1"/>
        <v>441</v>
      </c>
      <c r="H19" s="13">
        <f t="shared" si="0"/>
        <v>0.88200000000000001</v>
      </c>
      <c r="I19">
        <f t="shared" si="2"/>
        <v>0.141844</v>
      </c>
      <c r="W19">
        <f t="shared" si="3"/>
        <v>0.59631147540983609</v>
      </c>
      <c r="X19">
        <f t="shared" si="4"/>
        <v>2.9099999999999998E-3</v>
      </c>
      <c r="Y19" s="17">
        <v>600</v>
      </c>
      <c r="Z19" s="17">
        <v>1.746</v>
      </c>
      <c r="AA19" s="17">
        <v>0.22988500000000001</v>
      </c>
      <c r="AB19">
        <f t="shared" si="5"/>
        <v>0.6</v>
      </c>
      <c r="AC19">
        <f t="shared" si="6"/>
        <v>117.71999999999998</v>
      </c>
      <c r="AD19">
        <f t="shared" si="7"/>
        <v>245.24999999999997</v>
      </c>
      <c r="AE19">
        <f t="shared" si="8"/>
        <v>0.22988500000000001</v>
      </c>
      <c r="AK19">
        <f t="shared" si="9"/>
        <v>220.72500000000002</v>
      </c>
      <c r="AL19">
        <f t="shared" ref="AL19:AL21" si="10">AE18</f>
        <v>0.20408200000000001</v>
      </c>
    </row>
    <row r="20" spans="4:38" ht="15.75" thickBot="1" x14ac:dyDescent="0.3">
      <c r="D20" s="5">
        <v>600</v>
      </c>
      <c r="E20" s="1">
        <v>2.91</v>
      </c>
      <c r="F20" s="6">
        <v>0.209205</v>
      </c>
      <c r="G20" s="12">
        <f t="shared" si="1"/>
        <v>1746</v>
      </c>
      <c r="H20" s="13">
        <f t="shared" si="0"/>
        <v>3.492</v>
      </c>
      <c r="I20">
        <f t="shared" si="2"/>
        <v>0.209205</v>
      </c>
      <c r="W20">
        <f t="shared" si="3"/>
        <v>0.59596994535519121</v>
      </c>
      <c r="X20">
        <f t="shared" si="4"/>
        <v>2.9083333333333331E-3</v>
      </c>
      <c r="Y20" s="17">
        <v>720</v>
      </c>
      <c r="Z20" s="17">
        <v>2.0939999999999999</v>
      </c>
      <c r="AA20" s="17">
        <v>0.288462</v>
      </c>
      <c r="AB20">
        <f t="shared" si="5"/>
        <v>0.72</v>
      </c>
      <c r="AC20">
        <f t="shared" si="6"/>
        <v>141.26399999999998</v>
      </c>
      <c r="AD20">
        <f t="shared" si="7"/>
        <v>294.29999999999995</v>
      </c>
      <c r="AE20">
        <f t="shared" si="8"/>
        <v>0.288462</v>
      </c>
      <c r="AK20">
        <f t="shared" si="9"/>
        <v>245.24999999999997</v>
      </c>
      <c r="AL20">
        <f t="shared" si="10"/>
        <v>0.22988500000000001</v>
      </c>
    </row>
    <row r="21" spans="4:38" ht="15.75" thickBot="1" x14ac:dyDescent="0.3">
      <c r="D21" s="5">
        <v>700</v>
      </c>
      <c r="E21" s="1">
        <v>3.39</v>
      </c>
      <c r="F21" s="6">
        <v>0.296296</v>
      </c>
      <c r="G21" s="12">
        <f t="shared" si="1"/>
        <v>2373</v>
      </c>
      <c r="H21" s="13">
        <f t="shared" si="0"/>
        <v>4.7460000000000004</v>
      </c>
      <c r="I21">
        <f t="shared" si="2"/>
        <v>0.296296</v>
      </c>
      <c r="AF21" t="s">
        <v>27</v>
      </c>
      <c r="AK21">
        <f t="shared" si="9"/>
        <v>294.29999999999995</v>
      </c>
      <c r="AL21">
        <f t="shared" si="10"/>
        <v>0.288462</v>
      </c>
    </row>
    <row r="22" spans="4:38" ht="15.75" thickBot="1" x14ac:dyDescent="0.3">
      <c r="D22" s="7">
        <v>800</v>
      </c>
      <c r="E22" s="8">
        <v>3.87</v>
      </c>
      <c r="F22" s="9">
        <v>0.33057900000000001</v>
      </c>
      <c r="G22" s="12">
        <f t="shared" si="1"/>
        <v>3096</v>
      </c>
      <c r="H22" s="13">
        <f t="shared" si="0"/>
        <v>6.1920000000000002</v>
      </c>
      <c r="I22">
        <f t="shared" si="2"/>
        <v>0.33057900000000001</v>
      </c>
      <c r="J22" t="s">
        <v>8</v>
      </c>
      <c r="K22">
        <v>500</v>
      </c>
      <c r="L22" t="s">
        <v>9</v>
      </c>
      <c r="W22">
        <f>X22/$X$23</f>
        <v>0.59477459016393452</v>
      </c>
      <c r="X22">
        <f>Z22/Y22</f>
        <v>2.9025000000000001E-3</v>
      </c>
      <c r="Y22" s="17">
        <v>800</v>
      </c>
      <c r="Z22" s="17">
        <v>2.3220000000000001</v>
      </c>
      <c r="AA22" s="17">
        <v>0.32822800000000002</v>
      </c>
      <c r="AB22">
        <f>Y22/1000</f>
        <v>0.8</v>
      </c>
      <c r="AC22">
        <f>AB22*$AF$23</f>
        <v>261.60000000000002</v>
      </c>
      <c r="AD22">
        <f>AC22/$AB$29</f>
        <v>545.00000000000011</v>
      </c>
      <c r="AE22">
        <f>AA22</f>
        <v>0.32822800000000002</v>
      </c>
    </row>
    <row r="23" spans="4:38" ht="15.75" thickBot="1" x14ac:dyDescent="0.3">
      <c r="D23" s="10">
        <f>AVERAGE(D9:D22)</f>
        <v>507.85714285714283</v>
      </c>
      <c r="E23" t="s">
        <v>7</v>
      </c>
      <c r="W23" s="13">
        <f t="shared" si="3"/>
        <v>1</v>
      </c>
      <c r="X23" s="13">
        <f t="shared" si="4"/>
        <v>4.8799999999999998E-3</v>
      </c>
      <c r="Y23" s="18">
        <v>250</v>
      </c>
      <c r="Z23" s="18">
        <v>1.22</v>
      </c>
      <c r="AA23" s="18">
        <v>9.5694000000000001E-2</v>
      </c>
      <c r="AB23">
        <f t="shared" si="5"/>
        <v>0.25</v>
      </c>
      <c r="AC23">
        <f t="shared" ref="AC23:AC27" si="11">AB23*$AF$23</f>
        <v>81.75</v>
      </c>
      <c r="AD23">
        <f t="shared" ref="AD23:AD27" si="12">AC23/$AB$29</f>
        <v>170.3125</v>
      </c>
      <c r="AE23">
        <f t="shared" si="8"/>
        <v>9.5694000000000001E-2</v>
      </c>
      <c r="AF23">
        <v>327</v>
      </c>
      <c r="AG23" t="s">
        <v>17</v>
      </c>
      <c r="AH23" t="s">
        <v>19</v>
      </c>
    </row>
    <row r="24" spans="4:38" ht="15.75" thickBot="1" x14ac:dyDescent="0.3">
      <c r="D24" t="s">
        <v>6</v>
      </c>
      <c r="G24">
        <v>500</v>
      </c>
      <c r="H24" t="s">
        <v>4</v>
      </c>
      <c r="W24" s="13">
        <f t="shared" si="3"/>
        <v>1.0040983606557377</v>
      </c>
      <c r="X24" s="13">
        <f t="shared" si="4"/>
        <v>4.8999999999999998E-3</v>
      </c>
      <c r="Y24" s="18">
        <v>300</v>
      </c>
      <c r="Z24" s="18">
        <v>1.47</v>
      </c>
      <c r="AA24" s="18">
        <v>0.141844</v>
      </c>
      <c r="AB24">
        <f t="shared" si="5"/>
        <v>0.3</v>
      </c>
      <c r="AC24">
        <f t="shared" si="11"/>
        <v>98.1</v>
      </c>
      <c r="AD24">
        <f t="shared" si="12"/>
        <v>204.375</v>
      </c>
      <c r="AE24">
        <f t="shared" si="8"/>
        <v>0.141844</v>
      </c>
      <c r="AF24" s="13" t="s">
        <v>15</v>
      </c>
      <c r="AG24" s="13"/>
    </row>
    <row r="25" spans="4:38" ht="15.75" thickBot="1" x14ac:dyDescent="0.3">
      <c r="W25" s="13">
        <f t="shared" si="3"/>
        <v>0.99385245901639352</v>
      </c>
      <c r="X25" s="13">
        <f t="shared" si="4"/>
        <v>4.8500000000000001E-3</v>
      </c>
      <c r="Y25" s="18">
        <v>600</v>
      </c>
      <c r="Z25" s="18">
        <v>2.91</v>
      </c>
      <c r="AA25" s="18">
        <v>0.209205</v>
      </c>
      <c r="AB25">
        <f t="shared" si="5"/>
        <v>0.6</v>
      </c>
      <c r="AC25">
        <f t="shared" si="11"/>
        <v>196.2</v>
      </c>
      <c r="AD25">
        <f t="shared" si="12"/>
        <v>408.75</v>
      </c>
      <c r="AE25">
        <f t="shared" si="8"/>
        <v>0.209205</v>
      </c>
    </row>
    <row r="26" spans="4:38" ht="15.75" thickBot="1" x14ac:dyDescent="0.3">
      <c r="W26" s="13">
        <f t="shared" si="3"/>
        <v>0.99238875878220145</v>
      </c>
      <c r="X26" s="13">
        <f t="shared" si="4"/>
        <v>4.8428571428571427E-3</v>
      </c>
      <c r="Y26" s="18">
        <v>700</v>
      </c>
      <c r="Z26" s="18">
        <v>3.39</v>
      </c>
      <c r="AA26" s="18">
        <v>0.296296</v>
      </c>
      <c r="AB26">
        <f t="shared" si="5"/>
        <v>0.7</v>
      </c>
      <c r="AC26">
        <f t="shared" si="11"/>
        <v>228.89999999999998</v>
      </c>
      <c r="AD26">
        <f t="shared" si="12"/>
        <v>476.87499999999994</v>
      </c>
      <c r="AE26">
        <f t="shared" si="8"/>
        <v>0.296296</v>
      </c>
    </row>
    <row r="27" spans="4:38" ht="15.75" thickBot="1" x14ac:dyDescent="0.3">
      <c r="W27" s="13">
        <f t="shared" si="3"/>
        <v>0.99129098360655743</v>
      </c>
      <c r="X27" s="13">
        <f t="shared" si="4"/>
        <v>4.8374999999999998E-3</v>
      </c>
      <c r="Y27" s="18">
        <v>800</v>
      </c>
      <c r="Z27" s="18">
        <v>3.87</v>
      </c>
      <c r="AA27" s="18">
        <v>0.33057900000000001</v>
      </c>
      <c r="AB27">
        <f t="shared" si="5"/>
        <v>0.8</v>
      </c>
      <c r="AC27">
        <f t="shared" si="11"/>
        <v>261.60000000000002</v>
      </c>
      <c r="AD27">
        <f t="shared" si="12"/>
        <v>545.00000000000011</v>
      </c>
      <c r="AE27">
        <f t="shared" si="8"/>
        <v>0.33057900000000001</v>
      </c>
    </row>
    <row r="28" spans="4:38" x14ac:dyDescent="0.25">
      <c r="W28" t="s">
        <v>21</v>
      </c>
      <c r="Y28">
        <f>AVERAGE(Y13:Y27)</f>
        <v>507.85714285714283</v>
      </c>
    </row>
    <row r="29" spans="4:38" x14ac:dyDescent="0.25">
      <c r="W29" t="s">
        <v>22</v>
      </c>
      <c r="Y29" s="20">
        <v>480</v>
      </c>
      <c r="Z29" t="s">
        <v>23</v>
      </c>
      <c r="AB29">
        <v>0.48</v>
      </c>
    </row>
  </sheetData>
  <sortState xmlns:xlrd2="http://schemas.microsoft.com/office/spreadsheetml/2017/richdata2" ref="AJ13:AK26">
    <sortCondition ref="AJ13:AJ2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Podgornik, Aleš</dc:creator>
  <cp:lastModifiedBy>Kopač, Tilen</cp:lastModifiedBy>
  <dcterms:created xsi:type="dcterms:W3CDTF">2026-08-10T11:16:40Z</dcterms:created>
  <dcterms:modified xsi:type="dcterms:W3CDTF">2026-08-31T08:41:09Z</dcterms:modified>
</cp:coreProperties>
</file>